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kg\MIP\MATLAB\"/>
    </mc:Choice>
  </mc:AlternateContent>
  <xr:revisionPtr revIDLastSave="0" documentId="13_ncr:1_{D639EB43-E53B-4B86-AAC6-8FE2473CA444}" xr6:coauthVersionLast="47" xr6:coauthVersionMax="47" xr10:uidLastSave="{00000000-0000-0000-0000-000000000000}"/>
  <bookViews>
    <workbookView xWindow="10" yWindow="10" windowWidth="23980" windowHeight="15260" activeTab="1" xr2:uid="{8E3E13D5-0F5B-4480-9347-22E0ABCDD6F3}"/>
  </bookViews>
  <sheets>
    <sheet name="Gripper" sheetId="1" r:id="rId1"/>
    <sheet name="Squa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  <c r="F5" i="2"/>
  <c r="F4" i="2"/>
  <c r="F3" i="2"/>
  <c r="F6" i="2"/>
  <c r="F6" i="1"/>
</calcChain>
</file>

<file path=xl/sharedStrings.xml><?xml version="1.0" encoding="utf-8"?>
<sst xmlns="http://schemas.openxmlformats.org/spreadsheetml/2006/main" count="22" uniqueCount="8">
  <si>
    <t>Trial</t>
  </si>
  <si>
    <t>Reconfiguration Time (s)</t>
  </si>
  <si>
    <t>-</t>
  </si>
  <si>
    <t>Average (s)</t>
  </si>
  <si>
    <t>Success rate</t>
  </si>
  <si>
    <t>Success?</t>
  </si>
  <si>
    <t>StDev</t>
  </si>
  <si>
    <t>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</si>
</sst>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76AB-34F3-4781-8E43-E59760459436}">
  <dimension ref="A1:F21"/>
  <sheetViews>
    <sheetView zoomScale="67" workbookViewId="0">
      <selection activeCell="I12" sqref="I12"/>
    </sheetView>
  </sheetViews>
  <sheetFormatPr defaultRowHeight="14.5" x14ac:dyDescent="0.35"/>
  <cols>
    <col min="2" max="2" width="24" customWidth="1"/>
    <col min="3" max="3" width="19.08984375" customWidth="1"/>
    <col min="5" max="5" width="11.90625" customWidth="1"/>
  </cols>
  <sheetData>
    <row r="1" spans="1:6" x14ac:dyDescent="0.35">
      <c r="A1" s="2" t="s">
        <v>0</v>
      </c>
      <c r="B1" s="2" t="s">
        <v>1</v>
      </c>
      <c r="C1" s="2" t="s">
        <v>5</v>
      </c>
    </row>
    <row r="2" spans="1:6" x14ac:dyDescent="0.35">
      <c r="A2" s="1">
        <v>1</v>
      </c>
      <c r="B2" s="1">
        <v>3.42</v>
      </c>
      <c r="C2" s="1">
        <v>1</v>
      </c>
    </row>
    <row r="3" spans="1:6" x14ac:dyDescent="0.35">
      <c r="A3" s="1">
        <v>2</v>
      </c>
      <c r="B3" s="1">
        <v>4.88</v>
      </c>
      <c r="C3" s="1">
        <v>1</v>
      </c>
      <c r="E3" t="s">
        <v>3</v>
      </c>
      <c r="F3">
        <f>AVERAGE(B2:B5,B7:B14,B16:B21)</f>
        <v>3.8772222222222217</v>
      </c>
    </row>
    <row r="4" spans="1:6" x14ac:dyDescent="0.35">
      <c r="A4" s="1">
        <v>3</v>
      </c>
      <c r="B4" s="1">
        <v>3.11</v>
      </c>
      <c r="C4" s="1">
        <v>1</v>
      </c>
      <c r="E4" t="s">
        <v>6</v>
      </c>
      <c r="F4">
        <f>_xlfn.STDEV.S(B2:B5,B7:B14,B16:B21)</f>
        <v>0.64555316503669025</v>
      </c>
    </row>
    <row r="5" spans="1:6" x14ac:dyDescent="0.35">
      <c r="A5" s="1">
        <v>4</v>
      </c>
      <c r="B5" s="1">
        <v>4.05</v>
      </c>
      <c r="C5" s="1">
        <v>1</v>
      </c>
      <c r="E5" t="s">
        <v>7</v>
      </c>
      <c r="F5">
        <f>F4/SQRT(18)</f>
        <v>0.1521583402046274</v>
      </c>
    </row>
    <row r="6" spans="1:6" x14ac:dyDescent="0.35">
      <c r="A6" s="1">
        <v>5</v>
      </c>
      <c r="B6" s="1" t="s">
        <v>2</v>
      </c>
      <c r="C6" s="1">
        <v>0</v>
      </c>
      <c r="E6" t="s">
        <v>4</v>
      </c>
      <c r="F6">
        <f>SUM(C2:C21)/20</f>
        <v>0.9</v>
      </c>
    </row>
    <row r="7" spans="1:6" x14ac:dyDescent="0.35">
      <c r="A7" s="1">
        <v>6</v>
      </c>
      <c r="B7" s="1">
        <v>3.54</v>
      </c>
      <c r="C7" s="1">
        <v>1</v>
      </c>
    </row>
    <row r="8" spans="1:6" x14ac:dyDescent="0.35">
      <c r="A8" s="1">
        <v>7</v>
      </c>
      <c r="B8" s="3">
        <v>5.21</v>
      </c>
      <c r="C8" s="1">
        <v>1</v>
      </c>
    </row>
    <row r="9" spans="1:6" x14ac:dyDescent="0.35">
      <c r="A9" s="1">
        <v>8</v>
      </c>
      <c r="B9" s="1">
        <v>3.29</v>
      </c>
      <c r="C9" s="1">
        <v>1</v>
      </c>
    </row>
    <row r="10" spans="1:6" x14ac:dyDescent="0.35">
      <c r="A10" s="1">
        <v>9</v>
      </c>
      <c r="B10" s="1">
        <v>4.67</v>
      </c>
      <c r="C10" s="1">
        <v>1</v>
      </c>
    </row>
    <row r="11" spans="1:6" x14ac:dyDescent="0.35">
      <c r="A11" s="1">
        <v>10</v>
      </c>
      <c r="B11" s="1">
        <v>3.94</v>
      </c>
      <c r="C11" s="1">
        <v>1</v>
      </c>
    </row>
    <row r="12" spans="1:6" x14ac:dyDescent="0.35">
      <c r="A12" s="1">
        <v>11</v>
      </c>
      <c r="B12" s="1">
        <v>2.97</v>
      </c>
      <c r="C12" s="1">
        <v>1</v>
      </c>
    </row>
    <row r="13" spans="1:6" x14ac:dyDescent="0.35">
      <c r="A13" s="1">
        <v>12</v>
      </c>
      <c r="B13" s="1">
        <v>3.82</v>
      </c>
      <c r="C13" s="1">
        <v>1</v>
      </c>
    </row>
    <row r="14" spans="1:6" x14ac:dyDescent="0.35">
      <c r="A14" s="1">
        <v>13</v>
      </c>
      <c r="B14" s="1">
        <v>3.58</v>
      </c>
      <c r="C14" s="1">
        <v>1</v>
      </c>
    </row>
    <row r="15" spans="1:6" x14ac:dyDescent="0.35">
      <c r="A15" s="1">
        <v>14</v>
      </c>
      <c r="B15" s="1" t="s">
        <v>2</v>
      </c>
      <c r="C15" s="1">
        <v>0</v>
      </c>
    </row>
    <row r="16" spans="1:6" x14ac:dyDescent="0.35">
      <c r="A16" s="1">
        <v>15</v>
      </c>
      <c r="B16" s="1">
        <v>3.71</v>
      </c>
      <c r="C16" s="1">
        <v>1</v>
      </c>
    </row>
    <row r="17" spans="1:3" x14ac:dyDescent="0.35">
      <c r="A17" s="1">
        <v>16</v>
      </c>
      <c r="B17" s="1">
        <v>4.03</v>
      </c>
      <c r="C17" s="1">
        <v>1</v>
      </c>
    </row>
    <row r="18" spans="1:3" x14ac:dyDescent="0.35">
      <c r="A18" s="1">
        <v>17</v>
      </c>
      <c r="B18" s="1">
        <v>3.33</v>
      </c>
      <c r="C18" s="1">
        <v>1</v>
      </c>
    </row>
    <row r="19" spans="1:3" x14ac:dyDescent="0.35">
      <c r="A19" s="1">
        <v>18</v>
      </c>
      <c r="B19" s="1">
        <v>4.8899999999999997</v>
      </c>
      <c r="C19" s="1">
        <v>1</v>
      </c>
    </row>
    <row r="20" spans="1:3" x14ac:dyDescent="0.35">
      <c r="A20" s="1">
        <v>19</v>
      </c>
      <c r="B20" s="1">
        <v>3.6</v>
      </c>
      <c r="C20" s="1">
        <v>1</v>
      </c>
    </row>
    <row r="21" spans="1:3" x14ac:dyDescent="0.35">
      <c r="A21" s="1">
        <v>20</v>
      </c>
      <c r="B21" s="1">
        <v>3.75</v>
      </c>
      <c r="C21" s="1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271FD-EE97-49CA-88E6-982111361641}">
  <dimension ref="A1:F21"/>
  <sheetViews>
    <sheetView tabSelected="1" zoomScale="80" workbookViewId="0">
      <selection activeCell="F5" sqref="F5"/>
    </sheetView>
  </sheetViews>
  <sheetFormatPr defaultRowHeight="14.5" x14ac:dyDescent="0.35"/>
  <cols>
    <col min="1" max="1" width="16.453125" customWidth="1"/>
    <col min="2" max="2" width="21.1796875" customWidth="1"/>
    <col min="5" max="5" width="12.6328125" customWidth="1"/>
  </cols>
  <sheetData>
    <row r="1" spans="1:6" x14ac:dyDescent="0.35">
      <c r="A1" s="2" t="s">
        <v>0</v>
      </c>
      <c r="B1" s="2" t="s">
        <v>1</v>
      </c>
      <c r="C1" s="2" t="s">
        <v>5</v>
      </c>
    </row>
    <row r="2" spans="1:6" x14ac:dyDescent="0.35">
      <c r="A2" s="1">
        <v>1</v>
      </c>
      <c r="B2" s="1" t="s">
        <v>2</v>
      </c>
      <c r="C2" s="1">
        <v>0</v>
      </c>
    </row>
    <row r="3" spans="1:6" x14ac:dyDescent="0.35">
      <c r="A3" s="1">
        <v>2</v>
      </c>
      <c r="B3" s="1">
        <v>8.59</v>
      </c>
      <c r="C3" s="1">
        <v>1</v>
      </c>
      <c r="E3" t="s">
        <v>3</v>
      </c>
      <c r="F3">
        <f>AVERAGE(B3:B5,B7:B8,B11:B13, B15:B18,B20:B21)</f>
        <v>6.7342857142857131</v>
      </c>
    </row>
    <row r="4" spans="1:6" x14ac:dyDescent="0.35">
      <c r="A4" s="1">
        <v>3</v>
      </c>
      <c r="B4" s="1">
        <v>6.81</v>
      </c>
      <c r="C4" s="1">
        <v>1</v>
      </c>
      <c r="E4" t="s">
        <v>6</v>
      </c>
      <c r="F4">
        <f>_xlfn.STDEV.S(B3:B5,B7:B8,B11:B13,B15:B18,B20:B21)</f>
        <v>0.67668552275284899</v>
      </c>
    </row>
    <row r="5" spans="1:6" x14ac:dyDescent="0.35">
      <c r="A5" s="1">
        <v>4</v>
      </c>
      <c r="B5" s="1">
        <v>5.37</v>
      </c>
      <c r="C5" s="1">
        <v>1</v>
      </c>
      <c r="E5" t="s">
        <v>7</v>
      </c>
      <c r="F5">
        <f>F4/SQRT(14)</f>
        <v>0.18085181319508453</v>
      </c>
    </row>
    <row r="6" spans="1:6" x14ac:dyDescent="0.35">
      <c r="A6" s="1">
        <v>5</v>
      </c>
      <c r="B6" s="1" t="s">
        <v>2</v>
      </c>
      <c r="C6" s="1">
        <v>0</v>
      </c>
      <c r="E6" t="s">
        <v>4</v>
      </c>
      <c r="F6">
        <f>SUM(C2:C21)/20</f>
        <v>0.65</v>
      </c>
    </row>
    <row r="7" spans="1:6" x14ac:dyDescent="0.35">
      <c r="A7" s="1">
        <v>6</v>
      </c>
      <c r="B7" s="1">
        <v>6.55</v>
      </c>
      <c r="C7" s="1">
        <v>1</v>
      </c>
    </row>
    <row r="8" spans="1:6" x14ac:dyDescent="0.35">
      <c r="A8" s="1">
        <v>7</v>
      </c>
      <c r="B8" s="1">
        <v>6.97</v>
      </c>
      <c r="C8" s="1">
        <v>1</v>
      </c>
    </row>
    <row r="9" spans="1:6" x14ac:dyDescent="0.35">
      <c r="A9" s="1">
        <v>8</v>
      </c>
      <c r="B9" s="1" t="s">
        <v>2</v>
      </c>
      <c r="C9" s="1">
        <v>0</v>
      </c>
    </row>
    <row r="10" spans="1:6" x14ac:dyDescent="0.35">
      <c r="A10" s="1">
        <v>9</v>
      </c>
      <c r="B10" s="1" t="s">
        <v>2</v>
      </c>
      <c r="C10" s="1">
        <v>0</v>
      </c>
    </row>
    <row r="11" spans="1:6" x14ac:dyDescent="0.35">
      <c r="A11" s="1">
        <v>10</v>
      </c>
      <c r="B11" s="1">
        <v>6.51</v>
      </c>
      <c r="C11" s="1">
        <v>1</v>
      </c>
    </row>
    <row r="12" spans="1:6" x14ac:dyDescent="0.35">
      <c r="A12" s="1">
        <v>11</v>
      </c>
      <c r="B12" s="1">
        <v>6.77</v>
      </c>
      <c r="C12" s="1">
        <v>1</v>
      </c>
    </row>
    <row r="13" spans="1:6" x14ac:dyDescent="0.35">
      <c r="A13" s="1">
        <v>12</v>
      </c>
      <c r="B13" s="1">
        <v>6.89</v>
      </c>
      <c r="C13" s="1">
        <v>1</v>
      </c>
    </row>
    <row r="14" spans="1:6" x14ac:dyDescent="0.35">
      <c r="A14" s="1">
        <v>13</v>
      </c>
      <c r="B14" s="1" t="s">
        <v>2</v>
      </c>
      <c r="C14" s="1">
        <v>0</v>
      </c>
    </row>
    <row r="15" spans="1:6" x14ac:dyDescent="0.35">
      <c r="A15" s="1">
        <v>14</v>
      </c>
      <c r="B15" s="1">
        <v>7.07</v>
      </c>
      <c r="C15" s="1">
        <v>0</v>
      </c>
    </row>
    <row r="16" spans="1:6" x14ac:dyDescent="0.35">
      <c r="A16" s="1">
        <v>15</v>
      </c>
      <c r="B16" s="1">
        <v>6.62</v>
      </c>
      <c r="C16" s="1">
        <v>1</v>
      </c>
    </row>
    <row r="17" spans="1:3" x14ac:dyDescent="0.35">
      <c r="A17" s="1">
        <v>16</v>
      </c>
      <c r="B17" s="1">
        <v>6.78</v>
      </c>
      <c r="C17" s="1">
        <v>1</v>
      </c>
    </row>
    <row r="18" spans="1:3" x14ac:dyDescent="0.35">
      <c r="A18" s="1">
        <v>17</v>
      </c>
      <c r="B18" s="1">
        <v>6.37</v>
      </c>
      <c r="C18" s="1">
        <v>1</v>
      </c>
    </row>
    <row r="19" spans="1:3" x14ac:dyDescent="0.35">
      <c r="A19" s="1">
        <v>18</v>
      </c>
      <c r="B19" s="1" t="s">
        <v>2</v>
      </c>
      <c r="C19" s="1">
        <v>0</v>
      </c>
    </row>
    <row r="20" spans="1:3" x14ac:dyDescent="0.35">
      <c r="A20" s="1">
        <v>19</v>
      </c>
      <c r="B20" s="1">
        <v>6.71</v>
      </c>
      <c r="C20" s="1">
        <v>1</v>
      </c>
    </row>
    <row r="21" spans="1:3" x14ac:dyDescent="0.35">
      <c r="A21" s="1">
        <v>20</v>
      </c>
      <c r="B21" s="1">
        <v>6.27</v>
      </c>
      <c r="C2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Gripper</vt:lpstr>
      <vt:lpstr>Square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Oyono, Erik</dc:creator>
  <cp:lastModifiedBy>Garcia Oyono, Erik</cp:lastModifiedBy>
  <dcterms:created xsi:type="dcterms:W3CDTF">2025-09-08T17:29:52Z</dcterms:created>
  <dcterms:modified xsi:type="dcterms:W3CDTF">2025-09-10T15:40:29Z</dcterms:modified>
</cp:coreProperties>
</file>